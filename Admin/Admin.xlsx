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lan\Desktop\Нейросети\Projects\forsazh\Admin\"/>
    </mc:Choice>
  </mc:AlternateContent>
  <xr:revisionPtr revIDLastSave="0" documentId="13_ncr:1_{AD732F7A-7EB7-4944-A992-1FC14D19B329}" xr6:coauthVersionLast="47" xr6:coauthVersionMax="47" xr10:uidLastSave="{00000000-0000-0000-0000-000000000000}"/>
  <bookViews>
    <workbookView xWindow="28680" yWindow="-120" windowWidth="29040" windowHeight="15840" xr2:uid="{FC3B7296-589A-4A51-93A7-BEFBADEFDE12}"/>
  </bookViews>
  <sheets>
    <sheet name="Экипажи" sheetId="3" r:id="rId1"/>
    <sheet name="Экипажи награды Март" sheetId="2" r:id="rId2"/>
    <sheet name="Трасса" sheetId="4" r:id="rId3"/>
    <sheet name="Награды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H4" i="3"/>
  <c r="I4" i="3"/>
  <c r="J4" i="3"/>
  <c r="H5" i="3"/>
  <c r="I5" i="3"/>
  <c r="J5" i="3"/>
  <c r="H6" i="3"/>
  <c r="I6" i="3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J6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J7" i="3"/>
  <c r="J8" i="3"/>
  <c r="J9" i="3"/>
  <c r="J10" i="3"/>
  <c r="J11" i="3"/>
  <c r="J12" i="3" s="1"/>
  <c r="J13" i="3" s="1"/>
  <c r="J14" i="3" s="1"/>
  <c r="J15" i="3" s="1"/>
  <c r="J16" i="3" s="1"/>
  <c r="J17" i="3" s="1"/>
  <c r="J18" i="3" s="1"/>
  <c r="J19" i="3" s="1"/>
  <c r="J20" i="3" s="1"/>
  <c r="H3" i="3"/>
  <c r="I3" i="3"/>
  <c r="J3" i="3"/>
  <c r="G3" i="3"/>
  <c r="F2" i="3"/>
  <c r="D5" i="4"/>
  <c r="C5" i="4"/>
  <c r="B5" i="4"/>
  <c r="E3" i="4"/>
  <c r="E5" i="4" s="1"/>
  <c r="F5" i="4" l="1"/>
  <c r="E6" i="4" s="1"/>
  <c r="D6" i="4" l="1"/>
  <c r="C6" i="4"/>
  <c r="B6" i="4"/>
</calcChain>
</file>

<file path=xl/sharedStrings.xml><?xml version="1.0" encoding="utf-8"?>
<sst xmlns="http://schemas.openxmlformats.org/spreadsheetml/2006/main" count="215" uniqueCount="117">
  <si>
    <t>#1 по контрактованию</t>
  </si>
  <si>
    <t>#3 по контрактованию</t>
  </si>
  <si>
    <t>#3 по дистрибуции</t>
  </si>
  <si>
    <t>#2 по дистрибуции</t>
  </si>
  <si>
    <t>#1 по дистрибуции</t>
  </si>
  <si>
    <t>#2 по контрактованию</t>
  </si>
  <si>
    <t>#1 по ЛигеПро</t>
  </si>
  <si>
    <t>#2 по ЛигеПро</t>
  </si>
  <si>
    <t>#3 по ЛигеПро</t>
  </si>
  <si>
    <t>#1 по инфо контактам</t>
  </si>
  <si>
    <t>#2 по инфо контактам</t>
  </si>
  <si>
    <t>#3 по инфо контактам</t>
  </si>
  <si>
    <t>#1 по объёму продаж</t>
  </si>
  <si>
    <t>#2 по объёму продаж</t>
  </si>
  <si>
    <t>#3 по объёму продаж</t>
  </si>
  <si>
    <t>Март</t>
  </si>
  <si>
    <t>#1 по количеству точек с продажами</t>
  </si>
  <si>
    <t>#2 по количеству точек с продажами</t>
  </si>
  <si>
    <t>#3 по количеству точек с продажами</t>
  </si>
  <si>
    <t>Лидер месяца</t>
  </si>
  <si>
    <t>Апрель</t>
  </si>
  <si>
    <t>Май</t>
  </si>
  <si>
    <t>Экипаж 1</t>
  </si>
  <si>
    <t>Экипаж 2</t>
  </si>
  <si>
    <t>Экипаж 3</t>
  </si>
  <si>
    <t>Экипаж 4</t>
  </si>
  <si>
    <t>Экипаж 5</t>
  </si>
  <si>
    <t>Экипаж 6</t>
  </si>
  <si>
    <t>Экипаж 7</t>
  </si>
  <si>
    <t>Экипаж 8</t>
  </si>
  <si>
    <t>Экипаж 9</t>
  </si>
  <si>
    <t>Экипаж 10</t>
  </si>
  <si>
    <t>Экипаж 11</t>
  </si>
  <si>
    <t>Экипаж 12</t>
  </si>
  <si>
    <t>Экипаж 13</t>
  </si>
  <si>
    <t>Экипаж 14</t>
  </si>
  <si>
    <t>Экипаж 15</t>
  </si>
  <si>
    <t>Экипаж 16</t>
  </si>
  <si>
    <t>Экипаж 17</t>
  </si>
  <si>
    <t>Экипаж 18</t>
  </si>
  <si>
    <t>Экипаж 19</t>
  </si>
  <si>
    <t>Название Экипажа</t>
  </si>
  <si>
    <t>Название экипажа</t>
  </si>
  <si>
    <t>Очки</t>
  </si>
  <si>
    <t>Москва-Север</t>
  </si>
  <si>
    <t>Экспресс</t>
  </si>
  <si>
    <t>Москва-Юг</t>
  </si>
  <si>
    <t>Сервис 77</t>
  </si>
  <si>
    <t>Москва-Восток</t>
  </si>
  <si>
    <t>Краснодар</t>
  </si>
  <si>
    <t>Пятигорск</t>
  </si>
  <si>
    <t>Армавир</t>
  </si>
  <si>
    <t>Сочи</t>
  </si>
  <si>
    <t xml:space="preserve">Симферополь </t>
  </si>
  <si>
    <t>Севастополь</t>
  </si>
  <si>
    <t>Красноярск</t>
  </si>
  <si>
    <t>Абакан</t>
  </si>
  <si>
    <t>Владивосток</t>
  </si>
  <si>
    <t>Уссурийск</t>
  </si>
  <si>
    <t>Иркутск</t>
  </si>
  <si>
    <t>Хабаровск</t>
  </si>
  <si>
    <t>Благовещенск</t>
  </si>
  <si>
    <t>Якутск</t>
  </si>
  <si>
    <t>Регион ITMS</t>
  </si>
  <si>
    <t>Филиал СНС</t>
  </si>
  <si>
    <t>Исмагилов Артём</t>
  </si>
  <si>
    <t>Холодов Андрей</t>
  </si>
  <si>
    <t>Кузнецов Александр</t>
  </si>
  <si>
    <t>Тазиев Руслан</t>
  </si>
  <si>
    <t>Шугуров Артём</t>
  </si>
  <si>
    <t>Радаева Ирина</t>
  </si>
  <si>
    <t>Таценко Сергей</t>
  </si>
  <si>
    <t>Петраков Максим</t>
  </si>
  <si>
    <t>Сасин Даниил</t>
  </si>
  <si>
    <t>Лавренцов Никита</t>
  </si>
  <si>
    <t>Фелер Алексей</t>
  </si>
  <si>
    <t>Яхонтов Алексей</t>
  </si>
  <si>
    <t>Машуров Олег</t>
  </si>
  <si>
    <t>Синявский Александр</t>
  </si>
  <si>
    <t>Ганин Анатолий</t>
  </si>
  <si>
    <t>Бойчук Пётр</t>
  </si>
  <si>
    <t>Завгородний Марк</t>
  </si>
  <si>
    <t>Дюков Станислав</t>
  </si>
  <si>
    <t>Салимгариева Гульнара</t>
  </si>
  <si>
    <t>Лагерь Алексей</t>
  </si>
  <si>
    <t>Поляков Евгений</t>
  </si>
  <si>
    <t>Легков Евгений</t>
  </si>
  <si>
    <t>Трепышко Никита</t>
  </si>
  <si>
    <t>Денисов Алексей</t>
  </si>
  <si>
    <t>Сафонов Глеб</t>
  </si>
  <si>
    <t>Ниясов Артем</t>
  </si>
  <si>
    <t>Борка Данил</t>
  </si>
  <si>
    <t>Мизинова Ольга</t>
  </si>
  <si>
    <t>Онишко Евгений</t>
  </si>
  <si>
    <t>Халдеева Ольга</t>
  </si>
  <si>
    <t>Копылевич Александр</t>
  </si>
  <si>
    <t>Ровенский Алексей</t>
  </si>
  <si>
    <t>Тихонов Вячеслав</t>
  </si>
  <si>
    <t>Колесников Дмитрий</t>
  </si>
  <si>
    <t>Павленко Татьяна</t>
  </si>
  <si>
    <t>Якименко Александр</t>
  </si>
  <si>
    <t>Сирык Николай</t>
  </si>
  <si>
    <t>Поляниченко Андрей</t>
  </si>
  <si>
    <t>Сервис 78</t>
  </si>
  <si>
    <t>Пилот ITMS</t>
  </si>
  <si>
    <t>Пилот SNS</t>
  </si>
  <si>
    <t>Дистрибуция</t>
  </si>
  <si>
    <t>Контракты</t>
  </si>
  <si>
    <t>Лигп Про</t>
  </si>
  <si>
    <t>Контакты</t>
  </si>
  <si>
    <t>Задача в точках</t>
  </si>
  <si>
    <t xml:space="preserve">Очков </t>
  </si>
  <si>
    <t>Всего очков</t>
  </si>
  <si>
    <t>Вес</t>
  </si>
  <si>
    <t>Задачи</t>
  </si>
  <si>
    <t>Лига Про</t>
  </si>
  <si>
    <t>Финишь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</si>
</sst>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CCCCCC"/>
      <name val="Segoe U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5" fillId="2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0" fillId="3" borderId="1" xfId="0" applyFill="1" applyBorder="1"/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7568-2C37-4525-BA6D-2DD0A42B7E25}">
  <dimension ref="A1:M29"/>
  <sheetViews>
    <sheetView tabSelected="1" workbookViewId="0">
      <selection activeCell="C23" sqref="C23"/>
    </sheetView>
  </sheetViews>
  <sheetFormatPr defaultRowHeight="15" x14ac:dyDescent="0.25"/>
  <cols>
    <col min="1" max="1" width="18.85546875" customWidth="1"/>
    <col min="2" max="2" width="15" customWidth="1"/>
    <col min="3" max="3" width="17.7109375" customWidth="1"/>
    <col min="4" max="4" width="23.5703125" customWidth="1"/>
    <col min="5" max="5" width="20.5703125" customWidth="1"/>
    <col min="6" max="6" width="9.140625" style="1"/>
    <col min="7" max="7" width="17.28515625" customWidth="1"/>
    <col min="8" max="8" width="16.7109375" customWidth="1"/>
    <col min="9" max="9" width="18" customWidth="1"/>
    <col min="10" max="10" width="12.85546875" customWidth="1"/>
  </cols>
  <sheetData>
    <row r="1" spans="1:13" ht="15.75" thickBot="1" x14ac:dyDescent="0.3">
      <c r="A1" s="24" t="s">
        <v>42</v>
      </c>
      <c r="B1" s="23" t="s">
        <v>63</v>
      </c>
      <c r="C1" s="23" t="s">
        <v>64</v>
      </c>
      <c r="D1" s="23" t="s">
        <v>104</v>
      </c>
      <c r="E1" s="23" t="s">
        <v>105</v>
      </c>
      <c r="F1" s="23" t="s">
        <v>43</v>
      </c>
      <c r="G1" s="23" t="s">
        <v>106</v>
      </c>
      <c r="H1" s="23" t="s">
        <v>107</v>
      </c>
      <c r="I1" s="23" t="s">
        <v>108</v>
      </c>
      <c r="J1" s="25" t="s">
        <v>109</v>
      </c>
    </row>
    <row r="2" spans="1:13" x14ac:dyDescent="0.25">
      <c r="A2" t="s">
        <v>22</v>
      </c>
      <c r="B2" t="s">
        <v>44</v>
      </c>
      <c r="C2" t="s">
        <v>45</v>
      </c>
      <c r="D2" t="s">
        <v>65</v>
      </c>
      <c r="E2" t="s">
        <v>66</v>
      </c>
      <c r="F2" s="1">
        <f>SUM(G2:J2)</f>
        <v>828</v>
      </c>
      <c r="G2">
        <v>109</v>
      </c>
      <c r="H2">
        <v>332</v>
      </c>
      <c r="I2">
        <v>354</v>
      </c>
      <c r="J2">
        <v>33</v>
      </c>
    </row>
    <row r="3" spans="1:13" x14ac:dyDescent="0.25">
      <c r="A3" t="s">
        <v>23</v>
      </c>
      <c r="B3" t="s">
        <v>46</v>
      </c>
      <c r="C3" t="s">
        <v>47</v>
      </c>
      <c r="D3" t="s">
        <v>67</v>
      </c>
      <c r="E3" t="s">
        <v>68</v>
      </c>
      <c r="F3" s="1">
        <f t="shared" ref="F3:F20" si="0">SUM(G3:J3)</f>
        <v>948</v>
      </c>
      <c r="G3">
        <f>G2+30</f>
        <v>139</v>
      </c>
      <c r="H3">
        <f t="shared" ref="H3:J3" si="1">H2+30</f>
        <v>362</v>
      </c>
      <c r="I3">
        <f t="shared" si="1"/>
        <v>384</v>
      </c>
      <c r="J3">
        <f t="shared" si="1"/>
        <v>63</v>
      </c>
    </row>
    <row r="4" spans="1:13" x14ac:dyDescent="0.25">
      <c r="A4" t="s">
        <v>24</v>
      </c>
      <c r="B4" t="s">
        <v>48</v>
      </c>
      <c r="C4" t="s">
        <v>103</v>
      </c>
      <c r="D4" t="s">
        <v>69</v>
      </c>
      <c r="E4" t="s">
        <v>70</v>
      </c>
      <c r="F4" s="1">
        <f t="shared" si="0"/>
        <v>1068</v>
      </c>
      <c r="G4">
        <f t="shared" ref="G4:G20" si="2">G3+30</f>
        <v>169</v>
      </c>
      <c r="H4">
        <f t="shared" ref="H4:H20" si="3">H3+30</f>
        <v>392</v>
      </c>
      <c r="I4">
        <f t="shared" ref="I4:I20" si="4">I3+30</f>
        <v>414</v>
      </c>
      <c r="J4">
        <f t="shared" ref="J4:J20" si="5">J3+30</f>
        <v>93</v>
      </c>
    </row>
    <row r="5" spans="1:13" x14ac:dyDescent="0.25">
      <c r="A5" t="s">
        <v>25</v>
      </c>
      <c r="B5" t="s">
        <v>49</v>
      </c>
      <c r="C5" t="s">
        <v>49</v>
      </c>
      <c r="D5" t="s">
        <v>71</v>
      </c>
      <c r="E5" t="s">
        <v>72</v>
      </c>
      <c r="F5" s="1">
        <f t="shared" si="0"/>
        <v>1188</v>
      </c>
      <c r="G5">
        <f t="shared" si="2"/>
        <v>199</v>
      </c>
      <c r="H5">
        <f t="shared" si="3"/>
        <v>422</v>
      </c>
      <c r="I5">
        <f t="shared" si="4"/>
        <v>444</v>
      </c>
      <c r="J5">
        <f t="shared" si="5"/>
        <v>123</v>
      </c>
    </row>
    <row r="6" spans="1:13" x14ac:dyDescent="0.25">
      <c r="A6" t="s">
        <v>26</v>
      </c>
      <c r="B6" t="s">
        <v>49</v>
      </c>
      <c r="C6" t="s">
        <v>49</v>
      </c>
      <c r="D6" t="s">
        <v>73</v>
      </c>
      <c r="E6" t="s">
        <v>74</v>
      </c>
      <c r="F6" s="1">
        <f t="shared" si="0"/>
        <v>1308</v>
      </c>
      <c r="G6">
        <f t="shared" si="2"/>
        <v>229</v>
      </c>
      <c r="H6">
        <f t="shared" si="3"/>
        <v>452</v>
      </c>
      <c r="I6">
        <f t="shared" si="4"/>
        <v>474</v>
      </c>
      <c r="J6">
        <f t="shared" si="5"/>
        <v>153</v>
      </c>
    </row>
    <row r="7" spans="1:13" x14ac:dyDescent="0.25">
      <c r="A7" t="s">
        <v>27</v>
      </c>
      <c r="B7" t="s">
        <v>50</v>
      </c>
      <c r="C7" t="s">
        <v>51</v>
      </c>
      <c r="D7" t="s">
        <v>75</v>
      </c>
      <c r="E7" t="s">
        <v>76</v>
      </c>
      <c r="F7" s="1">
        <f t="shared" si="0"/>
        <v>1428</v>
      </c>
      <c r="G7">
        <f t="shared" si="2"/>
        <v>259</v>
      </c>
      <c r="H7">
        <f t="shared" si="3"/>
        <v>482</v>
      </c>
      <c r="I7">
        <f t="shared" si="4"/>
        <v>504</v>
      </c>
      <c r="J7">
        <f t="shared" si="5"/>
        <v>183</v>
      </c>
    </row>
    <row r="8" spans="1:13" x14ac:dyDescent="0.25">
      <c r="A8" t="s">
        <v>28</v>
      </c>
      <c r="B8" t="s">
        <v>50</v>
      </c>
      <c r="C8" t="s">
        <v>51</v>
      </c>
      <c r="D8" t="s">
        <v>77</v>
      </c>
      <c r="E8" t="s">
        <v>78</v>
      </c>
      <c r="F8" s="1">
        <f t="shared" si="0"/>
        <v>1548</v>
      </c>
      <c r="G8">
        <f t="shared" si="2"/>
        <v>289</v>
      </c>
      <c r="H8">
        <f t="shared" si="3"/>
        <v>512</v>
      </c>
      <c r="I8">
        <f t="shared" si="4"/>
        <v>534</v>
      </c>
      <c r="J8">
        <f t="shared" si="5"/>
        <v>213</v>
      </c>
    </row>
    <row r="9" spans="1:13" x14ac:dyDescent="0.25">
      <c r="A9" t="s">
        <v>29</v>
      </c>
      <c r="B9" t="s">
        <v>52</v>
      </c>
      <c r="C9" t="s">
        <v>53</v>
      </c>
      <c r="D9" t="s">
        <v>79</v>
      </c>
      <c r="E9" t="s">
        <v>80</v>
      </c>
      <c r="F9" s="1">
        <f t="shared" si="0"/>
        <v>1668</v>
      </c>
      <c r="G9">
        <f t="shared" si="2"/>
        <v>319</v>
      </c>
      <c r="H9">
        <f t="shared" si="3"/>
        <v>542</v>
      </c>
      <c r="I9">
        <f t="shared" si="4"/>
        <v>564</v>
      </c>
      <c r="J9">
        <f t="shared" si="5"/>
        <v>243</v>
      </c>
    </row>
    <row r="10" spans="1:13" x14ac:dyDescent="0.25">
      <c r="A10" t="s">
        <v>30</v>
      </c>
      <c r="B10" t="s">
        <v>52</v>
      </c>
      <c r="C10" t="s">
        <v>53</v>
      </c>
      <c r="D10" t="s">
        <v>81</v>
      </c>
      <c r="E10" t="s">
        <v>82</v>
      </c>
      <c r="F10" s="1">
        <f t="shared" si="0"/>
        <v>1788</v>
      </c>
      <c r="G10">
        <f t="shared" si="2"/>
        <v>349</v>
      </c>
      <c r="H10">
        <f t="shared" si="3"/>
        <v>572</v>
      </c>
      <c r="I10">
        <f t="shared" si="4"/>
        <v>594</v>
      </c>
      <c r="J10">
        <f t="shared" si="5"/>
        <v>273</v>
      </c>
      <c r="M10" s="2"/>
    </row>
    <row r="11" spans="1:13" x14ac:dyDescent="0.25">
      <c r="A11" t="s">
        <v>31</v>
      </c>
      <c r="B11" t="s">
        <v>52</v>
      </c>
      <c r="C11" t="s">
        <v>54</v>
      </c>
      <c r="D11" t="s">
        <v>83</v>
      </c>
      <c r="E11" t="s">
        <v>84</v>
      </c>
      <c r="F11" s="1">
        <f t="shared" si="0"/>
        <v>1908</v>
      </c>
      <c r="G11">
        <f t="shared" si="2"/>
        <v>379</v>
      </c>
      <c r="H11">
        <f t="shared" si="3"/>
        <v>602</v>
      </c>
      <c r="I11">
        <f t="shared" si="4"/>
        <v>624</v>
      </c>
      <c r="J11">
        <f t="shared" si="5"/>
        <v>303</v>
      </c>
    </row>
    <row r="12" spans="1:13" x14ac:dyDescent="0.25">
      <c r="A12" t="s">
        <v>32</v>
      </c>
      <c r="B12" t="s">
        <v>55</v>
      </c>
      <c r="C12" t="s">
        <v>56</v>
      </c>
      <c r="D12" t="s">
        <v>85</v>
      </c>
      <c r="E12" t="s">
        <v>86</v>
      </c>
      <c r="F12" s="1">
        <f t="shared" si="0"/>
        <v>2028</v>
      </c>
      <c r="G12">
        <f t="shared" si="2"/>
        <v>409</v>
      </c>
      <c r="H12">
        <f t="shared" si="3"/>
        <v>632</v>
      </c>
      <c r="I12">
        <f t="shared" si="4"/>
        <v>654</v>
      </c>
      <c r="J12">
        <f t="shared" si="5"/>
        <v>333</v>
      </c>
    </row>
    <row r="13" spans="1:13" x14ac:dyDescent="0.25">
      <c r="A13" t="s">
        <v>33</v>
      </c>
      <c r="B13" t="s">
        <v>55</v>
      </c>
      <c r="C13" t="s">
        <v>55</v>
      </c>
      <c r="D13" t="s">
        <v>87</v>
      </c>
      <c r="E13" t="s">
        <v>88</v>
      </c>
      <c r="F13" s="1">
        <f t="shared" si="0"/>
        <v>2148</v>
      </c>
      <c r="G13">
        <f t="shared" si="2"/>
        <v>439</v>
      </c>
      <c r="H13">
        <f t="shared" si="3"/>
        <v>662</v>
      </c>
      <c r="I13">
        <f t="shared" si="4"/>
        <v>684</v>
      </c>
      <c r="J13">
        <f t="shared" si="5"/>
        <v>363</v>
      </c>
    </row>
    <row r="14" spans="1:13" x14ac:dyDescent="0.25">
      <c r="A14" t="s">
        <v>34</v>
      </c>
      <c r="B14" t="s">
        <v>57</v>
      </c>
      <c r="C14" t="s">
        <v>58</v>
      </c>
      <c r="D14" t="s">
        <v>89</v>
      </c>
      <c r="E14" t="s">
        <v>90</v>
      </c>
      <c r="F14" s="1">
        <f t="shared" si="0"/>
        <v>2268</v>
      </c>
      <c r="G14">
        <f t="shared" si="2"/>
        <v>469</v>
      </c>
      <c r="H14">
        <f t="shared" si="3"/>
        <v>692</v>
      </c>
      <c r="I14">
        <f t="shared" si="4"/>
        <v>714</v>
      </c>
      <c r="J14">
        <f t="shared" si="5"/>
        <v>393</v>
      </c>
    </row>
    <row r="15" spans="1:13" x14ac:dyDescent="0.25">
      <c r="A15" t="s">
        <v>35</v>
      </c>
      <c r="B15" t="s">
        <v>57</v>
      </c>
      <c r="C15" t="s">
        <v>57</v>
      </c>
      <c r="D15" t="s">
        <v>91</v>
      </c>
      <c r="E15" t="s">
        <v>92</v>
      </c>
      <c r="F15" s="1">
        <f t="shared" si="0"/>
        <v>2388</v>
      </c>
      <c r="G15">
        <f t="shared" si="2"/>
        <v>499</v>
      </c>
      <c r="H15">
        <f t="shared" si="3"/>
        <v>722</v>
      </c>
      <c r="I15">
        <f t="shared" si="4"/>
        <v>744</v>
      </c>
      <c r="J15">
        <f t="shared" si="5"/>
        <v>423</v>
      </c>
    </row>
    <row r="16" spans="1:13" x14ac:dyDescent="0.25">
      <c r="A16" t="s">
        <v>36</v>
      </c>
      <c r="B16" t="s">
        <v>57</v>
      </c>
      <c r="C16" t="s">
        <v>57</v>
      </c>
      <c r="D16" t="s">
        <v>93</v>
      </c>
      <c r="E16" t="s">
        <v>94</v>
      </c>
      <c r="F16" s="1">
        <f t="shared" si="0"/>
        <v>2508</v>
      </c>
      <c r="G16">
        <f t="shared" si="2"/>
        <v>529</v>
      </c>
      <c r="H16">
        <f t="shared" si="3"/>
        <v>752</v>
      </c>
      <c r="I16">
        <f t="shared" si="4"/>
        <v>774</v>
      </c>
      <c r="J16">
        <f t="shared" si="5"/>
        <v>453</v>
      </c>
    </row>
    <row r="17" spans="1:10" x14ac:dyDescent="0.25">
      <c r="A17" t="s">
        <v>37</v>
      </c>
      <c r="B17" t="s">
        <v>59</v>
      </c>
      <c r="C17" t="s">
        <v>59</v>
      </c>
      <c r="D17" t="s">
        <v>95</v>
      </c>
      <c r="E17" t="s">
        <v>96</v>
      </c>
      <c r="F17" s="1">
        <f t="shared" si="0"/>
        <v>2628</v>
      </c>
      <c r="G17">
        <f t="shared" si="2"/>
        <v>559</v>
      </c>
      <c r="H17">
        <f t="shared" si="3"/>
        <v>782</v>
      </c>
      <c r="I17">
        <f t="shared" si="4"/>
        <v>804</v>
      </c>
      <c r="J17">
        <f t="shared" si="5"/>
        <v>483</v>
      </c>
    </row>
    <row r="18" spans="1:10" x14ac:dyDescent="0.25">
      <c r="A18" t="s">
        <v>38</v>
      </c>
      <c r="B18" t="s">
        <v>59</v>
      </c>
      <c r="C18" t="s">
        <v>59</v>
      </c>
      <c r="D18" t="s">
        <v>97</v>
      </c>
      <c r="E18" t="s">
        <v>98</v>
      </c>
      <c r="F18" s="1">
        <f t="shared" si="0"/>
        <v>2748</v>
      </c>
      <c r="G18">
        <f t="shared" si="2"/>
        <v>589</v>
      </c>
      <c r="H18">
        <f t="shared" si="3"/>
        <v>812</v>
      </c>
      <c r="I18">
        <f t="shared" si="4"/>
        <v>834</v>
      </c>
      <c r="J18">
        <f t="shared" si="5"/>
        <v>513</v>
      </c>
    </row>
    <row r="19" spans="1:10" x14ac:dyDescent="0.25">
      <c r="A19" t="s">
        <v>39</v>
      </c>
      <c r="B19" t="s">
        <v>60</v>
      </c>
      <c r="C19" t="s">
        <v>61</v>
      </c>
      <c r="D19" t="s">
        <v>99</v>
      </c>
      <c r="E19" t="s">
        <v>100</v>
      </c>
      <c r="F19" s="1">
        <f t="shared" si="0"/>
        <v>2868</v>
      </c>
      <c r="G19">
        <f t="shared" si="2"/>
        <v>619</v>
      </c>
      <c r="H19">
        <f t="shared" si="3"/>
        <v>842</v>
      </c>
      <c r="I19">
        <f t="shared" si="4"/>
        <v>864</v>
      </c>
      <c r="J19">
        <f t="shared" si="5"/>
        <v>543</v>
      </c>
    </row>
    <row r="20" spans="1:10" x14ac:dyDescent="0.25">
      <c r="A20" t="s">
        <v>40</v>
      </c>
      <c r="B20" t="s">
        <v>60</v>
      </c>
      <c r="C20" t="s">
        <v>62</v>
      </c>
      <c r="D20" t="s">
        <v>101</v>
      </c>
      <c r="E20" t="s">
        <v>102</v>
      </c>
      <c r="F20" s="1">
        <f t="shared" si="0"/>
        <v>2988</v>
      </c>
      <c r="G20">
        <f t="shared" si="2"/>
        <v>649</v>
      </c>
      <c r="H20">
        <f t="shared" si="3"/>
        <v>872</v>
      </c>
      <c r="I20">
        <f t="shared" si="4"/>
        <v>894</v>
      </c>
      <c r="J20">
        <f t="shared" si="5"/>
        <v>573</v>
      </c>
    </row>
    <row r="29" spans="1:10" x14ac:dyDescent="0.25">
      <c r="A29" s="3"/>
      <c r="B29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7090-AFD5-44B1-8B45-E3B64166D6ED}">
  <dimension ref="A1:E20"/>
  <sheetViews>
    <sheetView workbookViewId="0">
      <selection activeCell="B6" sqref="B6"/>
    </sheetView>
  </sheetViews>
  <sheetFormatPr defaultRowHeight="15" x14ac:dyDescent="0.25"/>
  <cols>
    <col min="1" max="1" width="18.140625" customWidth="1"/>
    <col min="2" max="2" width="39.42578125" customWidth="1"/>
    <col min="3" max="3" width="36.42578125" customWidth="1"/>
    <col min="4" max="4" width="23.140625" customWidth="1"/>
  </cols>
  <sheetData>
    <row r="1" spans="1:5" ht="15.75" thickBot="1" x14ac:dyDescent="0.3">
      <c r="A1" s="36" t="s">
        <v>41</v>
      </c>
      <c r="B1" s="33" t="s">
        <v>15</v>
      </c>
      <c r="C1" s="34"/>
      <c r="D1" s="34"/>
      <c r="E1" s="35"/>
    </row>
    <row r="2" spans="1:5" x14ac:dyDescent="0.25">
      <c r="A2" s="10" t="s">
        <v>22</v>
      </c>
      <c r="B2" s="4" t="s">
        <v>4</v>
      </c>
      <c r="C2" s="5" t="s">
        <v>5</v>
      </c>
      <c r="D2" s="5" t="s">
        <v>19</v>
      </c>
      <c r="E2" s="6"/>
    </row>
    <row r="3" spans="1:5" x14ac:dyDescent="0.25">
      <c r="A3" s="10" t="s">
        <v>23</v>
      </c>
      <c r="B3" s="4" t="s">
        <v>3</v>
      </c>
      <c r="C3" s="5" t="s">
        <v>2</v>
      </c>
      <c r="D3" s="5" t="s">
        <v>0</v>
      </c>
      <c r="E3" s="6"/>
    </row>
    <row r="4" spans="1:5" x14ac:dyDescent="0.25">
      <c r="A4" s="10" t="s">
        <v>24</v>
      </c>
      <c r="B4" s="4"/>
      <c r="C4" s="5"/>
      <c r="D4" s="5"/>
      <c r="E4" s="6"/>
    </row>
    <row r="5" spans="1:5" x14ac:dyDescent="0.25">
      <c r="A5" s="10" t="s">
        <v>25</v>
      </c>
      <c r="B5" s="4"/>
      <c r="C5" s="5"/>
      <c r="D5" s="5"/>
      <c r="E5" s="6"/>
    </row>
    <row r="6" spans="1:5" x14ac:dyDescent="0.25">
      <c r="A6" s="10" t="s">
        <v>26</v>
      </c>
      <c r="B6" s="4"/>
      <c r="C6" s="5"/>
      <c r="D6" s="5"/>
      <c r="E6" s="6"/>
    </row>
    <row r="7" spans="1:5" x14ac:dyDescent="0.25">
      <c r="A7" s="10" t="s">
        <v>27</v>
      </c>
      <c r="B7" s="4" t="s">
        <v>1</v>
      </c>
      <c r="C7" s="5" t="s">
        <v>6</v>
      </c>
      <c r="D7" s="5" t="s">
        <v>7</v>
      </c>
      <c r="E7" s="6"/>
    </row>
    <row r="8" spans="1:5" x14ac:dyDescent="0.25">
      <c r="A8" s="10" t="s">
        <v>28</v>
      </c>
      <c r="B8" s="4"/>
      <c r="C8" s="5"/>
      <c r="D8" s="5"/>
      <c r="E8" s="6"/>
    </row>
    <row r="9" spans="1:5" x14ac:dyDescent="0.25">
      <c r="A9" s="10" t="s">
        <v>29</v>
      </c>
      <c r="B9" s="4"/>
      <c r="C9" s="5"/>
      <c r="D9" s="5"/>
      <c r="E9" s="6"/>
    </row>
    <row r="10" spans="1:5" x14ac:dyDescent="0.25">
      <c r="A10" s="10" t="s">
        <v>30</v>
      </c>
      <c r="B10" s="4" t="s">
        <v>8</v>
      </c>
      <c r="C10" s="5" t="s">
        <v>9</v>
      </c>
      <c r="D10" s="5"/>
      <c r="E10" s="6"/>
    </row>
    <row r="11" spans="1:5" x14ac:dyDescent="0.25">
      <c r="A11" s="10" t="s">
        <v>31</v>
      </c>
      <c r="B11" s="4"/>
      <c r="C11" s="5"/>
      <c r="D11" s="5"/>
      <c r="E11" s="6"/>
    </row>
    <row r="12" spans="1:5" x14ac:dyDescent="0.25">
      <c r="A12" s="10" t="s">
        <v>32</v>
      </c>
      <c r="B12" s="4"/>
      <c r="C12" s="5"/>
      <c r="D12" s="5"/>
      <c r="E12" s="6"/>
    </row>
    <row r="13" spans="1:5" x14ac:dyDescent="0.25">
      <c r="A13" s="10" t="s">
        <v>33</v>
      </c>
      <c r="B13" s="4" t="s">
        <v>11</v>
      </c>
      <c r="C13" s="5" t="s">
        <v>10</v>
      </c>
      <c r="D13" s="5" t="s">
        <v>13</v>
      </c>
      <c r="E13" s="6"/>
    </row>
    <row r="14" spans="1:5" x14ac:dyDescent="0.25">
      <c r="A14" s="10" t="s">
        <v>34</v>
      </c>
      <c r="B14" s="4"/>
      <c r="C14" s="5"/>
      <c r="D14" s="5"/>
      <c r="E14" s="6"/>
    </row>
    <row r="15" spans="1:5" x14ac:dyDescent="0.25">
      <c r="A15" s="10" t="s">
        <v>35</v>
      </c>
      <c r="B15" s="4"/>
      <c r="C15" s="5"/>
      <c r="D15" s="5"/>
      <c r="E15" s="6"/>
    </row>
    <row r="16" spans="1:5" x14ac:dyDescent="0.25">
      <c r="A16" s="10" t="s">
        <v>36</v>
      </c>
      <c r="B16" s="4" t="s">
        <v>14</v>
      </c>
      <c r="C16" s="5" t="s">
        <v>12</v>
      </c>
      <c r="D16" s="5" t="s">
        <v>16</v>
      </c>
      <c r="E16" s="6"/>
    </row>
    <row r="17" spans="1:5" x14ac:dyDescent="0.25">
      <c r="A17" s="10" t="s">
        <v>37</v>
      </c>
      <c r="B17" s="4"/>
      <c r="C17" s="5"/>
      <c r="D17" s="5"/>
      <c r="E17" s="6"/>
    </row>
    <row r="18" spans="1:5" x14ac:dyDescent="0.25">
      <c r="A18" s="10" t="s">
        <v>38</v>
      </c>
      <c r="B18" s="4"/>
      <c r="C18" s="5"/>
      <c r="D18" s="5"/>
      <c r="E18" s="6"/>
    </row>
    <row r="19" spans="1:5" x14ac:dyDescent="0.25">
      <c r="A19" s="10" t="s">
        <v>39</v>
      </c>
      <c r="B19" s="4" t="s">
        <v>18</v>
      </c>
      <c r="C19" s="5" t="s">
        <v>17</v>
      </c>
      <c r="D19" s="5"/>
      <c r="E19" s="6"/>
    </row>
    <row r="20" spans="1:5" ht="15.75" thickBot="1" x14ac:dyDescent="0.3">
      <c r="A20" s="11" t="s">
        <v>40</v>
      </c>
      <c r="B20" s="7"/>
      <c r="C20" s="8"/>
      <c r="D20" s="8"/>
      <c r="E20" s="9"/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8793-3403-4696-9063-65D735965823}">
  <dimension ref="A1:F6"/>
  <sheetViews>
    <sheetView workbookViewId="0">
      <selection activeCell="F21" sqref="F21"/>
    </sheetView>
  </sheetViews>
  <sheetFormatPr defaultRowHeight="15" x14ac:dyDescent="0.25"/>
  <cols>
    <col min="1" max="1" width="18.42578125" style="13" customWidth="1"/>
    <col min="2" max="2" width="17.28515625" customWidth="1"/>
    <col min="3" max="3" width="13.28515625" customWidth="1"/>
    <col min="4" max="4" width="16.42578125" customWidth="1"/>
    <col min="5" max="5" width="12.5703125" customWidth="1"/>
    <col min="6" max="6" width="12.42578125" customWidth="1"/>
  </cols>
  <sheetData>
    <row r="1" spans="1:6" ht="15.75" thickBot="1" x14ac:dyDescent="0.3"/>
    <row r="2" spans="1:6" ht="15.75" thickBot="1" x14ac:dyDescent="0.3">
      <c r="A2" s="12" t="s">
        <v>114</v>
      </c>
      <c r="B2" s="16" t="s">
        <v>106</v>
      </c>
      <c r="C2" s="17" t="s">
        <v>107</v>
      </c>
      <c r="D2" s="17" t="s">
        <v>115</v>
      </c>
      <c r="E2" s="18" t="s">
        <v>109</v>
      </c>
      <c r="F2" s="12" t="s">
        <v>116</v>
      </c>
    </row>
    <row r="3" spans="1:6" ht="15.75" thickBot="1" x14ac:dyDescent="0.3">
      <c r="A3" s="19" t="s">
        <v>110</v>
      </c>
      <c r="B3" s="20">
        <v>72</v>
      </c>
      <c r="C3" s="21">
        <v>32</v>
      </c>
      <c r="D3" s="21">
        <v>28</v>
      </c>
      <c r="E3" s="22">
        <f>9*60</f>
        <v>540</v>
      </c>
      <c r="F3" s="10"/>
    </row>
    <row r="4" spans="1:6" ht="15.75" thickBot="1" x14ac:dyDescent="0.3">
      <c r="A4" s="15" t="s">
        <v>111</v>
      </c>
      <c r="B4" s="26">
        <v>20</v>
      </c>
      <c r="C4" s="27">
        <v>20</v>
      </c>
      <c r="D4" s="27">
        <v>20</v>
      </c>
      <c r="E4" s="28">
        <v>1</v>
      </c>
      <c r="F4" s="10"/>
    </row>
    <row r="5" spans="1:6" ht="15.75" thickBot="1" x14ac:dyDescent="0.3">
      <c r="A5" s="19" t="s">
        <v>112</v>
      </c>
      <c r="B5" s="20">
        <f>B4*B3</f>
        <v>1440</v>
      </c>
      <c r="C5" s="21">
        <f>C4*C3</f>
        <v>640</v>
      </c>
      <c r="D5" s="21">
        <f>D4*D3</f>
        <v>560</v>
      </c>
      <c r="E5" s="22">
        <f>E4*E3</f>
        <v>540</v>
      </c>
      <c r="F5" s="32">
        <f>SUM(B5:E5)</f>
        <v>3180</v>
      </c>
    </row>
    <row r="6" spans="1:6" ht="15.75" thickBot="1" x14ac:dyDescent="0.3">
      <c r="A6" s="14" t="s">
        <v>113</v>
      </c>
      <c r="B6" s="29">
        <f>B5/$F$5</f>
        <v>0.45283018867924529</v>
      </c>
      <c r="C6" s="30">
        <f>C5/$F$5</f>
        <v>0.20125786163522014</v>
      </c>
      <c r="D6" s="30">
        <f>D5/$F$5</f>
        <v>0.1761006289308176</v>
      </c>
      <c r="E6" s="31">
        <f>E5/$F$5</f>
        <v>0.16981132075471697</v>
      </c>
      <c r="F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30D3-EEA8-4C91-9AA2-31961970EC9B}">
  <dimension ref="A2:C21"/>
  <sheetViews>
    <sheetView workbookViewId="0">
      <selection activeCell="C23" sqref="C23"/>
    </sheetView>
  </sheetViews>
  <sheetFormatPr defaultRowHeight="15" x14ac:dyDescent="0.25"/>
  <cols>
    <col min="1" max="1" width="35.7109375" customWidth="1"/>
    <col min="2" max="2" width="31.28515625" customWidth="1"/>
    <col min="3" max="3" width="41.42578125" customWidth="1"/>
  </cols>
  <sheetData>
    <row r="2" spans="1:3" x14ac:dyDescent="0.25">
      <c r="A2" t="s">
        <v>15</v>
      </c>
      <c r="B2" t="s">
        <v>20</v>
      </c>
      <c r="C2" t="s">
        <v>21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3</v>
      </c>
      <c r="B4" t="s">
        <v>3</v>
      </c>
      <c r="C4" t="s">
        <v>3</v>
      </c>
    </row>
    <row r="5" spans="1:3" x14ac:dyDescent="0.25">
      <c r="A5" t="s">
        <v>2</v>
      </c>
      <c r="B5" t="s">
        <v>2</v>
      </c>
      <c r="C5" t="s">
        <v>2</v>
      </c>
    </row>
    <row r="6" spans="1:3" x14ac:dyDescent="0.25">
      <c r="A6" t="s">
        <v>0</v>
      </c>
      <c r="B6" t="s">
        <v>0</v>
      </c>
      <c r="C6" t="s">
        <v>0</v>
      </c>
    </row>
    <row r="7" spans="1:3" x14ac:dyDescent="0.25">
      <c r="A7" t="s">
        <v>5</v>
      </c>
      <c r="B7" t="s">
        <v>5</v>
      </c>
      <c r="C7" t="s">
        <v>5</v>
      </c>
    </row>
    <row r="8" spans="1:3" x14ac:dyDescent="0.25">
      <c r="A8" t="s">
        <v>1</v>
      </c>
      <c r="B8" t="s">
        <v>1</v>
      </c>
      <c r="C8" t="s">
        <v>1</v>
      </c>
    </row>
    <row r="9" spans="1:3" x14ac:dyDescent="0.25">
      <c r="A9" t="s">
        <v>6</v>
      </c>
      <c r="B9" t="s">
        <v>6</v>
      </c>
      <c r="C9" t="s">
        <v>6</v>
      </c>
    </row>
    <row r="10" spans="1:3" x14ac:dyDescent="0.25">
      <c r="A10" t="s">
        <v>7</v>
      </c>
      <c r="B10" t="s">
        <v>7</v>
      </c>
      <c r="C10" t="s">
        <v>7</v>
      </c>
    </row>
    <row r="11" spans="1:3" x14ac:dyDescent="0.25">
      <c r="A11" t="s">
        <v>8</v>
      </c>
      <c r="B11" t="s">
        <v>8</v>
      </c>
      <c r="C11" t="s">
        <v>8</v>
      </c>
    </row>
    <row r="12" spans="1:3" x14ac:dyDescent="0.25">
      <c r="A12" t="s">
        <v>9</v>
      </c>
      <c r="B12" t="s">
        <v>9</v>
      </c>
      <c r="C12" t="s">
        <v>9</v>
      </c>
    </row>
    <row r="13" spans="1:3" x14ac:dyDescent="0.25">
      <c r="A13" t="s">
        <v>10</v>
      </c>
      <c r="B13" t="s">
        <v>10</v>
      </c>
      <c r="C13" t="s">
        <v>10</v>
      </c>
    </row>
    <row r="14" spans="1:3" x14ac:dyDescent="0.25">
      <c r="A14" t="s">
        <v>11</v>
      </c>
      <c r="B14" t="s">
        <v>11</v>
      </c>
      <c r="C14" t="s">
        <v>11</v>
      </c>
    </row>
    <row r="15" spans="1:3" x14ac:dyDescent="0.25">
      <c r="A15" t="s">
        <v>12</v>
      </c>
      <c r="B15" t="s">
        <v>12</v>
      </c>
      <c r="C15" t="s">
        <v>12</v>
      </c>
    </row>
    <row r="16" spans="1:3" x14ac:dyDescent="0.25">
      <c r="A16" t="s">
        <v>13</v>
      </c>
      <c r="B16" t="s">
        <v>13</v>
      </c>
      <c r="C16" t="s">
        <v>13</v>
      </c>
    </row>
    <row r="17" spans="1:3" x14ac:dyDescent="0.25">
      <c r="A17" t="s">
        <v>14</v>
      </c>
      <c r="B17" t="s">
        <v>14</v>
      </c>
      <c r="C17" t="s">
        <v>14</v>
      </c>
    </row>
    <row r="18" spans="1:3" x14ac:dyDescent="0.25">
      <c r="A18" t="s">
        <v>16</v>
      </c>
      <c r="B18" t="s">
        <v>16</v>
      </c>
      <c r="C18" t="s">
        <v>16</v>
      </c>
    </row>
    <row r="19" spans="1:3" x14ac:dyDescent="0.25">
      <c r="A19" t="s">
        <v>17</v>
      </c>
      <c r="B19" t="s">
        <v>17</v>
      </c>
      <c r="C19" t="s">
        <v>17</v>
      </c>
    </row>
    <row r="20" spans="1:3" x14ac:dyDescent="0.25">
      <c r="A20" t="s">
        <v>18</v>
      </c>
      <c r="B20" t="s">
        <v>18</v>
      </c>
      <c r="C20" t="s">
        <v>18</v>
      </c>
    </row>
    <row r="21" spans="1:3" x14ac:dyDescent="0.25">
      <c r="A21" t="s">
        <v>19</v>
      </c>
      <c r="B21" t="s">
        <v>19</v>
      </c>
      <c r="C2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Экипажи</vt:lpstr>
      <vt:lpstr>Экипажи награды Март</vt:lpstr>
      <vt:lpstr>Трасса</vt:lpstr>
      <vt:lpstr>Награды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Ruslan</cp:lastModifiedBy>
  <dcterms:created xsi:type="dcterms:W3CDTF">2026-02-27T07:35:00Z</dcterms:created>
  <dcterms:modified xsi:type="dcterms:W3CDTF">2026-03-01T11:38:37Z</dcterms:modified>
</cp:coreProperties>
</file>